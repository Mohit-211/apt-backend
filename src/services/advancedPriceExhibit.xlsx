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itbhagat/Downloads/"/>
    </mc:Choice>
  </mc:AlternateContent>
  <xr:revisionPtr revIDLastSave="0" documentId="13_ncr:1_{0ABBC208-8009-2944-9633-1EBEE1A2C691}" xr6:coauthVersionLast="47" xr6:coauthVersionMax="47" xr10:uidLastSave="{00000000-0000-0000-0000-000000000000}"/>
  <bookViews>
    <workbookView xWindow="0" yWindow="500" windowWidth="28800" windowHeight="15800" xr2:uid="{EBA84576-2ECA-B44F-A768-0284275F874E}"/>
  </bookViews>
  <sheets>
    <sheet name="Advanced Price Exhibit" sheetId="5" r:id="rId1"/>
  </sheets>
  <definedNames>
    <definedName name="_xlnm._FilterDatabase" localSheetId="0" hidden="1">'Advanced Price Exhibit'!$A$1:$J$8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5" l="1"/>
  <c r="F22" i="5"/>
  <c r="F20" i="5"/>
  <c r="I20" i="5" s="1"/>
  <c r="F21" i="5"/>
  <c r="G21" i="5" s="1"/>
  <c r="F19" i="5"/>
  <c r="G19" i="5" s="1"/>
  <c r="F18" i="5"/>
  <c r="F17" i="5"/>
  <c r="G17" i="5" s="1"/>
  <c r="F16" i="5"/>
  <c r="G16" i="5" s="1"/>
  <c r="F15" i="5"/>
  <c r="G15" i="5" s="1"/>
  <c r="N27" i="5"/>
  <c r="F27" i="5"/>
  <c r="G27" i="5" s="1"/>
  <c r="N26" i="5"/>
  <c r="F26" i="5"/>
  <c r="G26" i="5" s="1"/>
  <c r="N25" i="5"/>
  <c r="F25" i="5"/>
  <c r="G25" i="5" s="1"/>
  <c r="M12" i="5"/>
  <c r="F12" i="5"/>
  <c r="G12" i="5" s="1"/>
  <c r="M11" i="5"/>
  <c r="F11" i="5"/>
  <c r="G11" i="5" s="1"/>
  <c r="M7" i="5"/>
  <c r="F7" i="5"/>
  <c r="G7" i="5" s="1"/>
  <c r="M6" i="5"/>
  <c r="F6" i="5"/>
  <c r="G6" i="5" s="1"/>
  <c r="M5" i="5"/>
  <c r="F5" i="5"/>
  <c r="G5" i="5" s="1"/>
  <c r="M4" i="5"/>
  <c r="F4" i="5"/>
  <c r="G4" i="5" s="1"/>
  <c r="M3" i="5"/>
  <c r="F3" i="5"/>
  <c r="G3" i="5" s="1"/>
  <c r="M2" i="5"/>
  <c r="F2" i="5"/>
  <c r="G2" i="5" s="1"/>
  <c r="I22" i="5" l="1"/>
  <c r="J22" i="5" s="1"/>
  <c r="I21" i="5"/>
  <c r="J21" i="5" s="1"/>
  <c r="G20" i="5"/>
  <c r="J20" i="5"/>
  <c r="I19" i="5"/>
  <c r="J19" i="5" s="1"/>
  <c r="G18" i="5"/>
  <c r="I18" i="5"/>
  <c r="J18" i="5" s="1"/>
  <c r="I4" i="5"/>
  <c r="J4" i="5" s="1"/>
  <c r="K4" i="5" s="1"/>
  <c r="I3" i="5"/>
  <c r="J3" i="5" s="1"/>
  <c r="K3" i="5" s="1"/>
  <c r="I5" i="5"/>
  <c r="J5" i="5" s="1"/>
  <c r="K5" i="5" s="1"/>
  <c r="I11" i="5"/>
  <c r="J11" i="5" s="1"/>
  <c r="K11" i="5" s="1"/>
  <c r="I12" i="5"/>
  <c r="J12" i="5" s="1"/>
  <c r="K12" i="5" s="1"/>
  <c r="I6" i="5"/>
  <c r="J6" i="5" s="1"/>
  <c r="K6" i="5" s="1"/>
  <c r="I7" i="5"/>
  <c r="J7" i="5" s="1"/>
  <c r="K7" i="5" s="1"/>
  <c r="I2" i="5"/>
  <c r="J2" i="5" s="1"/>
  <c r="K2" i="5" s="1"/>
  <c r="I15" i="5"/>
  <c r="J15" i="5" s="1"/>
  <c r="I16" i="5"/>
  <c r="J16" i="5" s="1"/>
  <c r="I17" i="5"/>
  <c r="J17" i="5" s="1"/>
  <c r="I25" i="5"/>
  <c r="J25" i="5" s="1"/>
  <c r="K25" i="5" s="1"/>
  <c r="I26" i="5"/>
  <c r="J26" i="5" s="1"/>
  <c r="K26" i="5" s="1"/>
  <c r="I27" i="5"/>
  <c r="J27" i="5" s="1"/>
  <c r="K27" i="5" s="1"/>
  <c r="R12" i="5"/>
  <c r="Q12" i="5"/>
  <c r="R11" i="5"/>
  <c r="Q11" i="5"/>
  <c r="N3" i="5"/>
  <c r="N7" i="5"/>
  <c r="N4" i="5"/>
  <c r="N11" i="5"/>
  <c r="N5" i="5"/>
  <c r="N12" i="5"/>
  <c r="N2" i="5"/>
  <c r="N6" i="5"/>
  <c r="R5" i="5"/>
  <c r="Q5" i="5"/>
  <c r="R2" i="5"/>
  <c r="Q2" i="5"/>
  <c r="Q6" i="5"/>
  <c r="R6" i="5"/>
  <c r="R25" i="5"/>
  <c r="Q25" i="5"/>
  <c r="N30" i="5"/>
  <c r="R3" i="5"/>
  <c r="Q3" i="5"/>
  <c r="R7" i="5"/>
  <c r="Q7" i="5"/>
  <c r="R26" i="5"/>
  <c r="Q26" i="5"/>
  <c r="N31" i="5"/>
  <c r="R4" i="5"/>
  <c r="Q4" i="5"/>
  <c r="Q27" i="5"/>
  <c r="R27" i="5"/>
  <c r="N3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Cedrick LaFleur</author>
  </authors>
  <commentList>
    <comment ref="M1" authorId="0" shapeId="0" xr:uid="{232E677E-35D2-5F4F-8BD6-16A01E1FE5C2}">
      <text>
        <r>
          <rPr>
            <b/>
            <sz val="10"/>
            <color rgb="FF000000"/>
            <rFont val="Tahoma"/>
            <family val="2"/>
          </rPr>
          <t>Cedrick LaFleur: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You have the ability to change the dollar amount of your workbook in the formula. In this case in the formula menu, change $19 to what your actual cost is. 
</t>
        </r>
      </text>
    </comment>
    <comment ref="M10" authorId="0" shapeId="0" xr:uid="{D32C5D6D-5BE8-2341-9D38-6A714239BDDD}">
      <text>
        <r>
          <rPr>
            <b/>
            <sz val="10"/>
            <color rgb="FF000000"/>
            <rFont val="Tahoma"/>
            <family val="2"/>
          </rPr>
          <t>Cedrick LaFleur: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You have the ability to change the dollar amount of your workbook in the formula. In this case in the formula menu, change $19 to what your actual cost is. 
</t>
        </r>
      </text>
    </comment>
  </commentList>
</comments>
</file>

<file path=xl/sharedStrings.xml><?xml version="1.0" encoding="utf-8"?>
<sst xmlns="http://schemas.openxmlformats.org/spreadsheetml/2006/main" count="117" uniqueCount="81">
  <si>
    <t>DISC &amp; Emotional Intelligence Combo Assessment</t>
  </si>
  <si>
    <t>Group Executive Report</t>
  </si>
  <si>
    <t xml:space="preserve"> </t>
  </si>
  <si>
    <t>Soft Skills Pricing Model (1hour, 2hours, half day workshops)</t>
  </si>
  <si>
    <t>#Participants</t>
  </si>
  <si>
    <t>Input # of Participants</t>
  </si>
  <si>
    <t>AUP*</t>
  </si>
  <si>
    <t>Input AUP you want to charge</t>
  </si>
  <si>
    <t>Annual CPI</t>
  </si>
  <si>
    <t>Level 1</t>
  </si>
  <si>
    <t xml:space="preserve"> 1-15</t>
  </si>
  <si>
    <t>$100 - $140</t>
  </si>
  <si>
    <t>Level 2</t>
  </si>
  <si>
    <t xml:space="preserve"> 16-30</t>
  </si>
  <si>
    <t>$90 - $99</t>
  </si>
  <si>
    <t>Level 3</t>
  </si>
  <si>
    <t xml:space="preserve"> 31-50</t>
  </si>
  <si>
    <t>$80 - $89</t>
  </si>
  <si>
    <t>Level 4</t>
  </si>
  <si>
    <t xml:space="preserve"> 51-75</t>
  </si>
  <si>
    <t>$70 - $79</t>
  </si>
  <si>
    <t>Level 5</t>
  </si>
  <si>
    <t xml:space="preserve"> 76-100</t>
  </si>
  <si>
    <t>$60 - $69</t>
  </si>
  <si>
    <t>Level 6</t>
  </si>
  <si>
    <t xml:space="preserve"> 100+</t>
  </si>
  <si>
    <t>$50 - $59</t>
  </si>
  <si>
    <t>Per Hour Rate</t>
  </si>
  <si>
    <t>Input Fee you want to charge</t>
  </si>
  <si>
    <t>Price You Tell the Customer</t>
  </si>
  <si>
    <t>Print as a % of one time $</t>
  </si>
  <si>
    <t>One Time All Day Workshop</t>
  </si>
  <si>
    <t>Up to 30 people</t>
  </si>
  <si>
    <t>166 - $300</t>
  </si>
  <si>
    <t>Up to 50 people</t>
  </si>
  <si>
    <t>$120 - $286</t>
  </si>
  <si>
    <t>LMS</t>
  </si>
  <si>
    <t>Max Users</t>
  </si>
  <si>
    <t>AUP</t>
  </si>
  <si>
    <t>Your Monthly Cost from CTM</t>
  </si>
  <si>
    <t>Your Annual Cost from CTM</t>
  </si>
  <si>
    <t>1 - 100</t>
  </si>
  <si>
    <t>$4.87 - $30</t>
  </si>
  <si>
    <t>300 - 500</t>
  </si>
  <si>
    <t>$3.48 - $4.80</t>
  </si>
  <si>
    <t>700 - 1,000</t>
  </si>
  <si>
    <t>$2.49 - $3.45</t>
  </si>
  <si>
    <t>CTM Cost Percentage</t>
  </si>
  <si>
    <t>**Only input numbers in YELLOW highlighted columns</t>
  </si>
  <si>
    <t>Assessment Programs</t>
  </si>
  <si>
    <t>$75 - $84.99</t>
  </si>
  <si>
    <t>$65 - $74.99</t>
  </si>
  <si>
    <t>Per Assessment Fee Range</t>
  </si>
  <si>
    <t>Assessment Participants</t>
  </si>
  <si>
    <t>Gross Amount</t>
  </si>
  <si>
    <t>Net Amount</t>
  </si>
  <si>
    <t>1-200</t>
  </si>
  <si>
    <t>201-299</t>
  </si>
  <si>
    <t>300+</t>
  </si>
  <si>
    <t>***ORANGE highlighted cells have formulas. DO NOT CHANGE OR FORMULAS WILL NOT WORK</t>
  </si>
  <si>
    <t>Monthly Revenue</t>
  </si>
  <si>
    <t>Annual Revenue</t>
  </si>
  <si>
    <t>$85 - $149</t>
  </si>
  <si>
    <t>Discount Amount</t>
  </si>
  <si>
    <t>Per (Month or Session) No Discount</t>
  </si>
  <si>
    <t>Per (Month or Session) After Discount</t>
  </si>
  <si>
    <t>Annual NO DISCOUNT</t>
  </si>
  <si>
    <t>Annual After Discount</t>
  </si>
  <si>
    <t>Discount % (Select Discount from drop down list)</t>
  </si>
  <si>
    <t>Leadership 360 Assessment</t>
  </si>
  <si>
    <t>1-100</t>
  </si>
  <si>
    <t>$200 - $500</t>
  </si>
  <si>
    <t>$100 - $500</t>
  </si>
  <si>
    <t>Sales Assessment</t>
  </si>
  <si>
    <t>Sales Leader Assessment</t>
  </si>
  <si>
    <t>Organizational Assessment</t>
  </si>
  <si>
    <t>25 - 1000</t>
  </si>
  <si>
    <t>Price after Discount</t>
  </si>
  <si>
    <t>*AUP = Avg Unit Price (Cost per customer)</t>
  </si>
  <si>
    <t>$500 - $1500</t>
  </si>
  <si>
    <t>Workbook Print Cost (Fedex) $19.  See Cell note to edit individual cost of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</si>
</sst>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C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 wrapText="1"/>
    </xf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0" fontId="0" fillId="4" borderId="1" xfId="0" applyNumberForma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  <xf numFmtId="164" fontId="0" fillId="2" borderId="1" xfId="0" applyNumberFormat="1" applyFill="1" applyBorder="1" applyAlignment="1" applyProtection="1">
      <alignment horizontal="center"/>
      <protection locked="0"/>
    </xf>
    <xf numFmtId="165" fontId="0" fillId="2" borderId="1" xfId="0" applyNumberFormat="1" applyFill="1" applyBorder="1" applyAlignment="1" applyProtection="1">
      <alignment horizontal="center"/>
      <protection locked="0"/>
    </xf>
    <xf numFmtId="164" fontId="0" fillId="5" borderId="1" xfId="0" applyNumberFormat="1" applyFill="1" applyBorder="1" applyAlignment="1" applyProtection="1">
      <alignment horizontal="center"/>
      <protection locked="0"/>
    </xf>
    <xf numFmtId="0" fontId="1" fillId="5" borderId="1" xfId="0" applyFont="1" applyFill="1" applyBorder="1" applyAlignment="1">
      <alignment horizontal="center" wrapText="1"/>
    </xf>
    <xf numFmtId="10" fontId="0" fillId="5" borderId="1" xfId="0" applyNumberForma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C00"/>
      <color rgb="FFFF9300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6E29-6DD3-5A42-9E55-58D9C16C3E69}">
  <dimension ref="A1:R33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6" sqref="C26"/>
    </sheetView>
  </sheetViews>
  <sheetFormatPr baseColWidth="10" defaultRowHeight="16" x14ac:dyDescent="0.2"/>
  <cols>
    <col min="1" max="1" width="47.1640625" style="2" bestFit="1" customWidth="1"/>
    <col min="2" max="2" width="14.1640625" style="2" bestFit="1" customWidth="1"/>
    <col min="3" max="3" width="14.1640625" style="2" customWidth="1"/>
    <col min="4" max="4" width="15.5" style="2" bestFit="1" customWidth="1"/>
    <col min="5" max="5" width="15.5" style="2" customWidth="1"/>
    <col min="6" max="6" width="19.83203125" style="2" bestFit="1" customWidth="1"/>
    <col min="7" max="7" width="10.83203125" style="2"/>
    <col min="8" max="8" width="17.83203125" style="2" customWidth="1"/>
    <col min="9" max="10" width="14.5" style="2" customWidth="1"/>
    <col min="11" max="11" width="10.83203125" style="2"/>
    <col min="12" max="12" width="2.6640625" style="2" customWidth="1"/>
    <col min="13" max="13" width="30.1640625" style="2" bestFit="1" customWidth="1"/>
    <col min="14" max="14" width="25.5" style="2" bestFit="1" customWidth="1"/>
    <col min="15" max="15" width="3.5" customWidth="1"/>
  </cols>
  <sheetData>
    <row r="1" spans="1:18" s="12" customFormat="1" ht="66" customHeight="1" x14ac:dyDescent="0.2">
      <c r="A1" s="9" t="s">
        <v>3</v>
      </c>
      <c r="B1" s="8" t="s">
        <v>4</v>
      </c>
      <c r="C1" s="9" t="s">
        <v>5</v>
      </c>
      <c r="D1" s="6" t="s">
        <v>6</v>
      </c>
      <c r="E1" s="9" t="s">
        <v>7</v>
      </c>
      <c r="F1" s="22" t="s">
        <v>64</v>
      </c>
      <c r="G1" s="22" t="s">
        <v>66</v>
      </c>
      <c r="H1" s="35" t="s">
        <v>68</v>
      </c>
      <c r="I1" s="22" t="s">
        <v>63</v>
      </c>
      <c r="J1" s="22" t="s">
        <v>65</v>
      </c>
      <c r="K1" s="22" t="s">
        <v>67</v>
      </c>
      <c r="L1" s="10"/>
      <c r="M1" s="35" t="s">
        <v>80</v>
      </c>
      <c r="N1" s="23" t="s">
        <v>30</v>
      </c>
      <c r="O1" s="11"/>
      <c r="P1" s="8" t="s">
        <v>8</v>
      </c>
      <c r="Q1" s="29">
        <v>0.03</v>
      </c>
      <c r="R1" s="29">
        <v>0.05</v>
      </c>
    </row>
    <row r="2" spans="1:18" x14ac:dyDescent="0.2">
      <c r="A2" s="8" t="s">
        <v>9</v>
      </c>
      <c r="B2" s="13" t="s">
        <v>10</v>
      </c>
      <c r="C2" s="31">
        <v>15</v>
      </c>
      <c r="D2" s="5" t="s">
        <v>11</v>
      </c>
      <c r="E2" s="32">
        <v>100</v>
      </c>
      <c r="F2" s="25">
        <f>C2*E2</f>
        <v>1500</v>
      </c>
      <c r="G2" s="25">
        <f t="shared" ref="G2:G7" si="0">F2*12</f>
        <v>18000</v>
      </c>
      <c r="H2" s="36">
        <v>0.02</v>
      </c>
      <c r="I2" s="25">
        <f>F2*H2</f>
        <v>30</v>
      </c>
      <c r="J2" s="25">
        <f>F2-I2</f>
        <v>1470</v>
      </c>
      <c r="K2" s="25">
        <f>J2*12</f>
        <v>17640</v>
      </c>
      <c r="L2" s="14"/>
      <c r="M2" s="34">
        <f t="shared" ref="M2:M7" si="1">C2*19</f>
        <v>285</v>
      </c>
      <c r="N2" s="28">
        <f t="shared" ref="N2:N7" si="2">M2/F2</f>
        <v>0.19</v>
      </c>
      <c r="O2" s="15"/>
      <c r="P2" s="1"/>
      <c r="Q2" s="25">
        <f t="shared" ref="Q2:Q7" si="3">G2*0.03</f>
        <v>540</v>
      </c>
      <c r="R2" s="25">
        <f t="shared" ref="R2:R7" si="4">G2*0.05</f>
        <v>900</v>
      </c>
    </row>
    <row r="3" spans="1:18" x14ac:dyDescent="0.2">
      <c r="A3" s="8" t="s">
        <v>12</v>
      </c>
      <c r="B3" s="3" t="s">
        <v>13</v>
      </c>
      <c r="C3" s="31">
        <v>22</v>
      </c>
      <c r="D3" s="5" t="s">
        <v>14</v>
      </c>
      <c r="E3" s="32">
        <v>95</v>
      </c>
      <c r="F3" s="25">
        <f t="shared" ref="F3:F7" si="5">C3*E3</f>
        <v>2090</v>
      </c>
      <c r="G3" s="25">
        <f t="shared" si="0"/>
        <v>25080</v>
      </c>
      <c r="H3" s="36">
        <v>0.05</v>
      </c>
      <c r="I3" s="25">
        <f t="shared" ref="I3:I7" si="6">F3*H3</f>
        <v>104.5</v>
      </c>
      <c r="J3" s="25">
        <f t="shared" ref="J3:J7" si="7">F3-I3</f>
        <v>1985.5</v>
      </c>
      <c r="K3" s="25">
        <f t="shared" ref="K3:K7" si="8">J3*12</f>
        <v>23826</v>
      </c>
      <c r="L3" s="14"/>
      <c r="M3" s="34">
        <f t="shared" si="1"/>
        <v>418</v>
      </c>
      <c r="N3" s="28">
        <f t="shared" si="2"/>
        <v>0.2</v>
      </c>
      <c r="O3" s="15"/>
      <c r="P3" s="1"/>
      <c r="Q3" s="25">
        <f t="shared" si="3"/>
        <v>752.4</v>
      </c>
      <c r="R3" s="25">
        <f t="shared" si="4"/>
        <v>1254</v>
      </c>
    </row>
    <row r="4" spans="1:18" x14ac:dyDescent="0.2">
      <c r="A4" s="8" t="s">
        <v>15</v>
      </c>
      <c r="B4" s="3" t="s">
        <v>16</v>
      </c>
      <c r="C4" s="31">
        <v>45</v>
      </c>
      <c r="D4" s="5" t="s">
        <v>17</v>
      </c>
      <c r="E4" s="32">
        <v>83</v>
      </c>
      <c r="F4" s="25">
        <f t="shared" si="5"/>
        <v>3735</v>
      </c>
      <c r="G4" s="25">
        <f t="shared" si="0"/>
        <v>44820</v>
      </c>
      <c r="H4" s="36">
        <v>0.1</v>
      </c>
      <c r="I4" s="25">
        <f t="shared" si="6"/>
        <v>373.5</v>
      </c>
      <c r="J4" s="25">
        <f t="shared" si="7"/>
        <v>3361.5</v>
      </c>
      <c r="K4" s="25">
        <f t="shared" si="8"/>
        <v>40338</v>
      </c>
      <c r="L4" s="14"/>
      <c r="M4" s="34">
        <f t="shared" si="1"/>
        <v>855</v>
      </c>
      <c r="N4" s="28">
        <f t="shared" si="2"/>
        <v>0.2289156626506024</v>
      </c>
      <c r="O4" s="15"/>
      <c r="P4" s="1"/>
      <c r="Q4" s="25">
        <f t="shared" si="3"/>
        <v>1344.6</v>
      </c>
      <c r="R4" s="25">
        <f t="shared" si="4"/>
        <v>2241</v>
      </c>
    </row>
    <row r="5" spans="1:18" x14ac:dyDescent="0.2">
      <c r="A5" s="8" t="s">
        <v>18</v>
      </c>
      <c r="B5" s="3" t="s">
        <v>19</v>
      </c>
      <c r="C5" s="31">
        <v>63</v>
      </c>
      <c r="D5" s="5" t="s">
        <v>20</v>
      </c>
      <c r="E5" s="32">
        <v>74</v>
      </c>
      <c r="F5" s="25">
        <f t="shared" si="5"/>
        <v>4662</v>
      </c>
      <c r="G5" s="25">
        <f t="shared" si="0"/>
        <v>55944</v>
      </c>
      <c r="H5" s="36">
        <v>0.12</v>
      </c>
      <c r="I5" s="25">
        <f t="shared" si="6"/>
        <v>559.43999999999994</v>
      </c>
      <c r="J5" s="25">
        <f t="shared" si="7"/>
        <v>4102.5600000000004</v>
      </c>
      <c r="K5" s="25">
        <f t="shared" si="8"/>
        <v>49230.720000000001</v>
      </c>
      <c r="L5" s="14"/>
      <c r="M5" s="34">
        <f t="shared" si="1"/>
        <v>1197</v>
      </c>
      <c r="N5" s="28">
        <f t="shared" si="2"/>
        <v>0.25675675675675674</v>
      </c>
      <c r="O5" s="15"/>
      <c r="P5" s="1"/>
      <c r="Q5" s="25">
        <f t="shared" si="3"/>
        <v>1678.32</v>
      </c>
      <c r="R5" s="25">
        <f t="shared" si="4"/>
        <v>2797.2000000000003</v>
      </c>
    </row>
    <row r="6" spans="1:18" x14ac:dyDescent="0.2">
      <c r="A6" s="8" t="s">
        <v>21</v>
      </c>
      <c r="B6" s="3" t="s">
        <v>22</v>
      </c>
      <c r="C6" s="31">
        <v>80</v>
      </c>
      <c r="D6" s="5" t="s">
        <v>23</v>
      </c>
      <c r="E6" s="32">
        <v>65</v>
      </c>
      <c r="F6" s="25">
        <f t="shared" si="5"/>
        <v>5200</v>
      </c>
      <c r="G6" s="25">
        <f t="shared" si="0"/>
        <v>62400</v>
      </c>
      <c r="H6" s="36">
        <v>0.15</v>
      </c>
      <c r="I6" s="25">
        <f t="shared" si="6"/>
        <v>780</v>
      </c>
      <c r="J6" s="25">
        <f t="shared" si="7"/>
        <v>4420</v>
      </c>
      <c r="K6" s="25">
        <f t="shared" si="8"/>
        <v>53040</v>
      </c>
      <c r="L6" s="14"/>
      <c r="M6" s="34">
        <f t="shared" si="1"/>
        <v>1520</v>
      </c>
      <c r="N6" s="28">
        <f t="shared" si="2"/>
        <v>0.29230769230769232</v>
      </c>
      <c r="O6" s="15"/>
      <c r="P6" s="1"/>
      <c r="Q6" s="25">
        <f t="shared" si="3"/>
        <v>1872</v>
      </c>
      <c r="R6" s="25">
        <f t="shared" si="4"/>
        <v>3120</v>
      </c>
    </row>
    <row r="7" spans="1:18" x14ac:dyDescent="0.2">
      <c r="A7" s="8" t="s">
        <v>24</v>
      </c>
      <c r="B7" s="3" t="s">
        <v>25</v>
      </c>
      <c r="C7" s="31">
        <v>120</v>
      </c>
      <c r="D7" s="5" t="s">
        <v>26</v>
      </c>
      <c r="E7" s="32">
        <v>58.5</v>
      </c>
      <c r="F7" s="25">
        <f t="shared" si="5"/>
        <v>7020</v>
      </c>
      <c r="G7" s="25">
        <f t="shared" si="0"/>
        <v>84240</v>
      </c>
      <c r="H7" s="36">
        <v>0.2</v>
      </c>
      <c r="I7" s="25">
        <f t="shared" si="6"/>
        <v>1404</v>
      </c>
      <c r="J7" s="25">
        <f t="shared" si="7"/>
        <v>5616</v>
      </c>
      <c r="K7" s="25">
        <f t="shared" si="8"/>
        <v>67392</v>
      </c>
      <c r="L7" s="14"/>
      <c r="M7" s="34">
        <f t="shared" si="1"/>
        <v>2280</v>
      </c>
      <c r="N7" s="28">
        <f t="shared" si="2"/>
        <v>0.3247863247863248</v>
      </c>
      <c r="O7" s="15"/>
      <c r="P7" s="1"/>
      <c r="Q7" s="25">
        <f t="shared" si="3"/>
        <v>2527.1999999999998</v>
      </c>
      <c r="R7" s="25">
        <f t="shared" si="4"/>
        <v>4212</v>
      </c>
    </row>
    <row r="8" spans="1:18" x14ac:dyDescent="0.2">
      <c r="A8" s="3"/>
      <c r="B8" s="3"/>
      <c r="C8" s="3"/>
      <c r="D8" s="3"/>
      <c r="E8" s="3" t="s">
        <v>2</v>
      </c>
      <c r="F8" s="3"/>
      <c r="G8" s="3"/>
      <c r="H8" s="3"/>
      <c r="I8" s="3"/>
      <c r="J8" s="3"/>
      <c r="K8" s="3"/>
      <c r="L8" s="16"/>
      <c r="M8" s="3"/>
      <c r="O8" s="15"/>
    </row>
    <row r="9" spans="1:18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7"/>
      <c r="O9" s="15"/>
    </row>
    <row r="10" spans="1:18" ht="51" x14ac:dyDescent="0.2">
      <c r="A10" s="3"/>
      <c r="B10" s="3"/>
      <c r="C10" s="9" t="s">
        <v>5</v>
      </c>
      <c r="D10" s="8" t="s">
        <v>27</v>
      </c>
      <c r="E10" s="9" t="s">
        <v>28</v>
      </c>
      <c r="F10" s="22" t="s">
        <v>29</v>
      </c>
      <c r="G10" s="22" t="s">
        <v>66</v>
      </c>
      <c r="H10" s="35" t="s">
        <v>68</v>
      </c>
      <c r="I10" s="22" t="s">
        <v>63</v>
      </c>
      <c r="J10" s="22" t="s">
        <v>65</v>
      </c>
      <c r="K10" s="22" t="s">
        <v>67</v>
      </c>
      <c r="L10" s="16"/>
      <c r="M10" s="35" t="s">
        <v>80</v>
      </c>
      <c r="N10" s="23" t="s">
        <v>30</v>
      </c>
      <c r="O10" s="15"/>
      <c r="P10" s="8" t="s">
        <v>8</v>
      </c>
      <c r="Q10" s="29">
        <v>0.03</v>
      </c>
      <c r="R10" s="29">
        <v>0.05</v>
      </c>
    </row>
    <row r="11" spans="1:18" x14ac:dyDescent="0.2">
      <c r="A11" s="8" t="s">
        <v>31</v>
      </c>
      <c r="B11" s="3" t="s">
        <v>32</v>
      </c>
      <c r="C11" s="31">
        <v>30</v>
      </c>
      <c r="D11" s="4" t="s">
        <v>33</v>
      </c>
      <c r="E11" s="32">
        <v>175</v>
      </c>
      <c r="F11" s="25">
        <f>E11*C11</f>
        <v>5250</v>
      </c>
      <c r="G11" s="25">
        <f>F11*12</f>
        <v>63000</v>
      </c>
      <c r="H11" s="36">
        <v>0.25</v>
      </c>
      <c r="I11" s="25">
        <f t="shared" ref="I11:I12" si="9">F11*H11</f>
        <v>1312.5</v>
      </c>
      <c r="J11" s="25">
        <f t="shared" ref="J11:J12" si="10">F11-I11</f>
        <v>3937.5</v>
      </c>
      <c r="K11" s="25">
        <f t="shared" ref="K11:K12" si="11">J11*12</f>
        <v>47250</v>
      </c>
      <c r="L11" s="16"/>
      <c r="M11" s="34">
        <f>C11*19</f>
        <v>570</v>
      </c>
      <c r="N11" s="28">
        <f>M11/F11</f>
        <v>0.10857142857142857</v>
      </c>
      <c r="O11" s="15"/>
      <c r="P11" s="1"/>
      <c r="Q11" s="25">
        <f>G11*0.03</f>
        <v>1890</v>
      </c>
      <c r="R11" s="25">
        <f>G11*0.05</f>
        <v>3150</v>
      </c>
    </row>
    <row r="12" spans="1:18" x14ac:dyDescent="0.2">
      <c r="A12" s="8" t="s">
        <v>31</v>
      </c>
      <c r="B12" s="3" t="s">
        <v>34</v>
      </c>
      <c r="C12" s="31">
        <v>50</v>
      </c>
      <c r="D12" s="4" t="s">
        <v>35</v>
      </c>
      <c r="E12" s="32">
        <v>150</v>
      </c>
      <c r="F12" s="25">
        <f>E12*C12</f>
        <v>7500</v>
      </c>
      <c r="G12" s="25">
        <f>F12*12</f>
        <v>90000</v>
      </c>
      <c r="H12" s="36">
        <v>0.3</v>
      </c>
      <c r="I12" s="25">
        <f t="shared" si="9"/>
        <v>2250</v>
      </c>
      <c r="J12" s="25">
        <f t="shared" si="10"/>
        <v>5250</v>
      </c>
      <c r="K12" s="25">
        <f t="shared" si="11"/>
        <v>63000</v>
      </c>
      <c r="L12" s="16"/>
      <c r="M12" s="34">
        <f>C12*19</f>
        <v>950</v>
      </c>
      <c r="N12" s="28">
        <f>M12/F12</f>
        <v>0.12666666666666668</v>
      </c>
      <c r="O12" s="15"/>
      <c r="P12" s="1"/>
      <c r="Q12" s="25">
        <f>G12*0.03</f>
        <v>2700</v>
      </c>
      <c r="R12" s="25">
        <f>G12*0.05</f>
        <v>4500</v>
      </c>
    </row>
    <row r="13" spans="1:18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5"/>
    </row>
    <row r="14" spans="1:18" ht="51" x14ac:dyDescent="0.2">
      <c r="A14" s="8" t="s">
        <v>49</v>
      </c>
      <c r="B14" s="7" t="s">
        <v>53</v>
      </c>
      <c r="C14" s="9" t="s">
        <v>5</v>
      </c>
      <c r="D14" s="7" t="s">
        <v>52</v>
      </c>
      <c r="E14" s="9" t="s">
        <v>28</v>
      </c>
      <c r="F14" s="26" t="s">
        <v>54</v>
      </c>
      <c r="G14" s="26" t="s">
        <v>55</v>
      </c>
      <c r="H14" s="35" t="s">
        <v>68</v>
      </c>
      <c r="I14" s="22" t="s">
        <v>63</v>
      </c>
      <c r="J14" s="22" t="s">
        <v>77</v>
      </c>
      <c r="K14" s="22"/>
      <c r="L14" s="17"/>
      <c r="O14" s="15"/>
    </row>
    <row r="15" spans="1:18" x14ac:dyDescent="0.2">
      <c r="A15" s="8" t="s">
        <v>0</v>
      </c>
      <c r="B15" s="3" t="s">
        <v>56</v>
      </c>
      <c r="C15" s="31">
        <v>15</v>
      </c>
      <c r="D15" s="5" t="s">
        <v>62</v>
      </c>
      <c r="E15" s="33">
        <v>149</v>
      </c>
      <c r="F15" s="27">
        <f>E15*C15</f>
        <v>2235</v>
      </c>
      <c r="G15" s="27">
        <f>F15-C15*25</f>
        <v>1860</v>
      </c>
      <c r="H15" s="36">
        <v>0.25</v>
      </c>
      <c r="I15" s="25">
        <f t="shared" ref="I15:I17" si="12">F15*H15</f>
        <v>558.75</v>
      </c>
      <c r="J15" s="25">
        <f t="shared" ref="J15:J17" si="13">F15-I15</f>
        <v>1676.25</v>
      </c>
      <c r="K15" s="25"/>
      <c r="L15" s="17"/>
      <c r="O15" s="15"/>
    </row>
    <row r="16" spans="1:18" x14ac:dyDescent="0.2">
      <c r="A16" s="8" t="s">
        <v>0</v>
      </c>
      <c r="B16" s="3" t="s">
        <v>57</v>
      </c>
      <c r="C16" s="31">
        <v>123</v>
      </c>
      <c r="D16" s="5" t="s">
        <v>50</v>
      </c>
      <c r="E16" s="33">
        <v>76</v>
      </c>
      <c r="F16" s="27">
        <f t="shared" ref="F16:F17" si="14">E16*C16</f>
        <v>9348</v>
      </c>
      <c r="G16" s="27">
        <f>F16-C16*25</f>
        <v>6273</v>
      </c>
      <c r="H16" s="36">
        <v>0.2</v>
      </c>
      <c r="I16" s="25">
        <f t="shared" si="12"/>
        <v>1869.6000000000001</v>
      </c>
      <c r="J16" s="25">
        <f t="shared" si="13"/>
        <v>7478.4</v>
      </c>
      <c r="K16" s="25"/>
      <c r="L16" s="17"/>
      <c r="O16" s="15"/>
    </row>
    <row r="17" spans="1:18" x14ac:dyDescent="0.2">
      <c r="A17" s="8" t="s">
        <v>0</v>
      </c>
      <c r="B17" s="3" t="s">
        <v>58</v>
      </c>
      <c r="C17" s="31">
        <v>230</v>
      </c>
      <c r="D17" s="5" t="s">
        <v>51</v>
      </c>
      <c r="E17" s="33">
        <v>70</v>
      </c>
      <c r="F17" s="27">
        <f t="shared" si="14"/>
        <v>16100</v>
      </c>
      <c r="G17" s="27">
        <f>F17-C17*22.5</f>
        <v>10925</v>
      </c>
      <c r="H17" s="36">
        <v>0.15</v>
      </c>
      <c r="I17" s="25">
        <f t="shared" si="12"/>
        <v>2415</v>
      </c>
      <c r="J17" s="25">
        <f t="shared" si="13"/>
        <v>13685</v>
      </c>
      <c r="K17" s="25"/>
      <c r="L17" s="17"/>
      <c r="O17" s="15"/>
    </row>
    <row r="18" spans="1:18" x14ac:dyDescent="0.2">
      <c r="A18" s="12" t="s">
        <v>69</v>
      </c>
      <c r="B18" s="2" t="s">
        <v>70</v>
      </c>
      <c r="C18" s="31">
        <v>15</v>
      </c>
      <c r="D18" s="5" t="s">
        <v>71</v>
      </c>
      <c r="E18" s="33">
        <v>200</v>
      </c>
      <c r="F18" s="27">
        <f t="shared" ref="F18" si="15">E18*C18</f>
        <v>3000</v>
      </c>
      <c r="G18" s="27">
        <f>F18-C18*22.5</f>
        <v>2662.5</v>
      </c>
      <c r="H18" s="36">
        <v>0.12</v>
      </c>
      <c r="I18" s="25">
        <f t="shared" ref="I18" si="16">F18*H18</f>
        <v>360</v>
      </c>
      <c r="J18" s="25">
        <f t="shared" ref="J18" si="17">F18-I18</f>
        <v>2640</v>
      </c>
      <c r="K18" s="25"/>
      <c r="L18" s="17"/>
      <c r="O18" s="15"/>
    </row>
    <row r="19" spans="1:18" x14ac:dyDescent="0.2">
      <c r="A19" s="30" t="s">
        <v>1</v>
      </c>
      <c r="B19" s="3" t="s">
        <v>2</v>
      </c>
      <c r="C19" s="31">
        <v>15</v>
      </c>
      <c r="D19" s="5" t="s">
        <v>72</v>
      </c>
      <c r="E19" s="33">
        <v>200</v>
      </c>
      <c r="F19" s="27">
        <f t="shared" ref="F19:F21" si="18">E19*C19</f>
        <v>3000</v>
      </c>
      <c r="G19" s="27">
        <f t="shared" ref="G19:G21" si="19">F19-C19*22.5</f>
        <v>2662.5</v>
      </c>
      <c r="H19" s="36">
        <v>0.1</v>
      </c>
      <c r="I19" s="25">
        <f t="shared" ref="I19:I21" si="20">F19*H19</f>
        <v>300</v>
      </c>
      <c r="J19" s="25">
        <f t="shared" ref="J19:J21" si="21">F19-I19</f>
        <v>2700</v>
      </c>
      <c r="K19" s="25"/>
      <c r="L19" s="17"/>
      <c r="O19" s="15"/>
    </row>
    <row r="20" spans="1:18" x14ac:dyDescent="0.2">
      <c r="A20" s="8" t="s">
        <v>73</v>
      </c>
      <c r="B20" s="3" t="s">
        <v>70</v>
      </c>
      <c r="C20" s="31">
        <v>15</v>
      </c>
      <c r="D20" s="5" t="s">
        <v>62</v>
      </c>
      <c r="E20" s="33">
        <v>200</v>
      </c>
      <c r="F20" s="27">
        <f t="shared" ref="F20" si="22">E20*C20</f>
        <v>3000</v>
      </c>
      <c r="G20" s="27">
        <f t="shared" ref="G20" si="23">F20-C20*22.5</f>
        <v>2662.5</v>
      </c>
      <c r="H20" s="36">
        <v>0.05</v>
      </c>
      <c r="I20" s="25">
        <f t="shared" ref="I20" si="24">F20*H20</f>
        <v>150</v>
      </c>
      <c r="J20" s="25">
        <f t="shared" ref="J20" si="25">F20-I20</f>
        <v>2850</v>
      </c>
      <c r="K20" s="25"/>
      <c r="L20" s="17"/>
      <c r="O20" s="15"/>
    </row>
    <row r="21" spans="1:18" x14ac:dyDescent="0.2">
      <c r="A21" s="8" t="s">
        <v>74</v>
      </c>
      <c r="B21" s="3" t="s">
        <v>70</v>
      </c>
      <c r="C21" s="31">
        <v>15</v>
      </c>
      <c r="D21" s="5" t="s">
        <v>71</v>
      </c>
      <c r="E21" s="33">
        <v>200</v>
      </c>
      <c r="F21" s="27">
        <f t="shared" si="18"/>
        <v>3000</v>
      </c>
      <c r="G21" s="27">
        <f t="shared" si="19"/>
        <v>2662.5</v>
      </c>
      <c r="H21" s="36">
        <v>0.02</v>
      </c>
      <c r="I21" s="25">
        <f t="shared" si="20"/>
        <v>60</v>
      </c>
      <c r="J21" s="25">
        <f t="shared" si="21"/>
        <v>2940</v>
      </c>
      <c r="K21" s="25"/>
      <c r="L21" s="17"/>
      <c r="O21" s="15"/>
    </row>
    <row r="22" spans="1:18" x14ac:dyDescent="0.2">
      <c r="A22" s="12" t="s">
        <v>75</v>
      </c>
      <c r="B22" s="13" t="s">
        <v>76</v>
      </c>
      <c r="C22" s="31">
        <v>25</v>
      </c>
      <c r="D22" s="5" t="s">
        <v>79</v>
      </c>
      <c r="E22" s="33">
        <v>1000</v>
      </c>
      <c r="F22" s="27">
        <f>E22</f>
        <v>1000</v>
      </c>
      <c r="G22" s="27">
        <f>E22-38</f>
        <v>962</v>
      </c>
      <c r="H22" s="36">
        <v>0.02</v>
      </c>
      <c r="I22" s="25">
        <f t="shared" ref="I22" si="26">F22*H22</f>
        <v>20</v>
      </c>
      <c r="J22" s="25">
        <f t="shared" ref="J22" si="27">F22-I22</f>
        <v>980</v>
      </c>
      <c r="K22" s="25"/>
      <c r="L22" s="17"/>
      <c r="O22" s="15"/>
    </row>
    <row r="23" spans="1:18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5"/>
    </row>
    <row r="24" spans="1:18" ht="51" x14ac:dyDescent="0.2">
      <c r="A24" s="18" t="s">
        <v>36</v>
      </c>
      <c r="B24" s="8" t="s">
        <v>37</v>
      </c>
      <c r="C24" s="9" t="s">
        <v>5</v>
      </c>
      <c r="D24" s="8" t="s">
        <v>38</v>
      </c>
      <c r="E24" s="9" t="s">
        <v>7</v>
      </c>
      <c r="F24" s="23" t="s">
        <v>60</v>
      </c>
      <c r="G24" s="22" t="s">
        <v>61</v>
      </c>
      <c r="H24" s="35" t="s">
        <v>68</v>
      </c>
      <c r="I24" s="22" t="s">
        <v>63</v>
      </c>
      <c r="J24" s="22" t="s">
        <v>65</v>
      </c>
      <c r="K24" s="22" t="s">
        <v>67</v>
      </c>
      <c r="L24" s="17"/>
      <c r="M24" s="23" t="s">
        <v>39</v>
      </c>
      <c r="N24" s="23" t="s">
        <v>40</v>
      </c>
      <c r="O24" s="15"/>
      <c r="P24" s="8" t="s">
        <v>8</v>
      </c>
      <c r="Q24" s="29">
        <v>0.03</v>
      </c>
      <c r="R24" s="29">
        <v>0.05</v>
      </c>
    </row>
    <row r="25" spans="1:18" x14ac:dyDescent="0.2">
      <c r="A25" s="8" t="s">
        <v>9</v>
      </c>
      <c r="B25" s="3" t="s">
        <v>41</v>
      </c>
      <c r="C25" s="31">
        <v>21</v>
      </c>
      <c r="D25" s="3" t="s">
        <v>42</v>
      </c>
      <c r="E25" s="32">
        <v>16</v>
      </c>
      <c r="F25" s="25">
        <f>E25*C25</f>
        <v>336</v>
      </c>
      <c r="G25" s="25">
        <f>F25*12</f>
        <v>4032</v>
      </c>
      <c r="H25" s="36">
        <v>0.02</v>
      </c>
      <c r="I25" s="25">
        <f t="shared" ref="I25:I27" si="28">F25*H25</f>
        <v>6.72</v>
      </c>
      <c r="J25" s="25">
        <f t="shared" ref="J25:J27" si="29">F25-I25</f>
        <v>329.28</v>
      </c>
      <c r="K25" s="25">
        <f t="shared" ref="K25:K27" si="30">J25*12</f>
        <v>3951.3599999999997</v>
      </c>
      <c r="L25" s="17"/>
      <c r="M25" s="25">
        <v>195</v>
      </c>
      <c r="N25" s="25">
        <f>M25*12</f>
        <v>2340</v>
      </c>
      <c r="O25" s="15"/>
      <c r="P25" s="1"/>
      <c r="Q25" s="25">
        <f>G25*0.03</f>
        <v>120.96</v>
      </c>
      <c r="R25" s="25">
        <f>G25*0.05</f>
        <v>201.60000000000002</v>
      </c>
    </row>
    <row r="26" spans="1:18" x14ac:dyDescent="0.2">
      <c r="A26" s="8" t="s">
        <v>12</v>
      </c>
      <c r="B26" s="3" t="s">
        <v>43</v>
      </c>
      <c r="C26" s="31">
        <v>300</v>
      </c>
      <c r="D26" s="3" t="s">
        <v>44</v>
      </c>
      <c r="E26" s="32">
        <v>3.48</v>
      </c>
      <c r="F26" s="25">
        <f t="shared" ref="F26:F27" si="31">E26*C26</f>
        <v>1044</v>
      </c>
      <c r="G26" s="25">
        <f>F26*12</f>
        <v>12528</v>
      </c>
      <c r="H26" s="36">
        <v>0.02</v>
      </c>
      <c r="I26" s="25">
        <f t="shared" si="28"/>
        <v>20.88</v>
      </c>
      <c r="J26" s="25">
        <f t="shared" si="29"/>
        <v>1023.12</v>
      </c>
      <c r="K26" s="25">
        <f t="shared" si="30"/>
        <v>12277.44</v>
      </c>
      <c r="L26" s="17"/>
      <c r="M26" s="25">
        <v>695</v>
      </c>
      <c r="N26" s="25">
        <f>M26*12</f>
        <v>8340</v>
      </c>
      <c r="O26" s="15"/>
      <c r="P26" s="1"/>
      <c r="Q26" s="25">
        <f>G26*0.03</f>
        <v>375.84</v>
      </c>
      <c r="R26" s="25">
        <f>G26*0.05</f>
        <v>626.40000000000009</v>
      </c>
    </row>
    <row r="27" spans="1:18" x14ac:dyDescent="0.2">
      <c r="A27" s="8" t="s">
        <v>15</v>
      </c>
      <c r="B27" s="3" t="s">
        <v>45</v>
      </c>
      <c r="C27" s="31">
        <v>700</v>
      </c>
      <c r="D27" s="3" t="s">
        <v>46</v>
      </c>
      <c r="E27" s="32">
        <v>3.45</v>
      </c>
      <c r="F27" s="25">
        <f t="shared" si="31"/>
        <v>2415</v>
      </c>
      <c r="G27" s="25">
        <f>F27*12</f>
        <v>28980</v>
      </c>
      <c r="H27" s="36">
        <v>0.02</v>
      </c>
      <c r="I27" s="25">
        <f t="shared" si="28"/>
        <v>48.300000000000004</v>
      </c>
      <c r="J27" s="25">
        <f t="shared" si="29"/>
        <v>2366.6999999999998</v>
      </c>
      <c r="K27" s="25">
        <f t="shared" si="30"/>
        <v>28400.399999999998</v>
      </c>
      <c r="L27" s="17"/>
      <c r="M27" s="25">
        <v>995</v>
      </c>
      <c r="N27" s="25">
        <f>M27*12</f>
        <v>11940</v>
      </c>
      <c r="O27" s="15"/>
      <c r="P27" s="1"/>
      <c r="Q27" s="25">
        <f>G27*0.03</f>
        <v>869.4</v>
      </c>
      <c r="R27" s="25">
        <f>G27*0.05</f>
        <v>1449</v>
      </c>
    </row>
    <row r="29" spans="1:18" x14ac:dyDescent="0.2">
      <c r="M29" s="3"/>
      <c r="N29" s="23" t="s">
        <v>47</v>
      </c>
    </row>
    <row r="30" spans="1:18" x14ac:dyDescent="0.2">
      <c r="D30" s="19" t="s">
        <v>2</v>
      </c>
      <c r="M30" s="8" t="s">
        <v>9</v>
      </c>
      <c r="N30" s="28">
        <f>N25/G25</f>
        <v>0.5803571428571429</v>
      </c>
    </row>
    <row r="31" spans="1:18" x14ac:dyDescent="0.2">
      <c r="A31" s="2" t="s">
        <v>78</v>
      </c>
      <c r="M31" s="8" t="s">
        <v>12</v>
      </c>
      <c r="N31" s="28">
        <f>N26/G26</f>
        <v>0.66570881226053635</v>
      </c>
    </row>
    <row r="32" spans="1:18" x14ac:dyDescent="0.2">
      <c r="A32" s="21" t="s">
        <v>48</v>
      </c>
      <c r="M32" s="8" t="s">
        <v>15</v>
      </c>
      <c r="N32" s="28">
        <f>N27/G27</f>
        <v>0.41200828157349895</v>
      </c>
    </row>
    <row r="33" spans="1:14" ht="34" x14ac:dyDescent="0.2">
      <c r="A33" s="24" t="s">
        <v>59</v>
      </c>
      <c r="N33" s="20" t="s">
        <v>2</v>
      </c>
    </row>
  </sheetData>
  <sheetProtection selectLockedCells="1"/>
  <dataValidations count="1">
    <dataValidation type="list" allowBlank="1" showInputMessage="1" showErrorMessage="1" sqref="H2:H7 H11:H12 H15:H22 H25:H27" xr:uid="{E8FF014A-FFD3-FD40-B253-C718AE3AFE99}">
      <formula1>"0.02,0.05,0.10,0.12,0.15,0.20,0.25,0.30"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 Price Exhibit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Cedrick LaFleur</dc:creator>
  <cp:keywords/>
  <dc:description/>
  <cp:lastModifiedBy>Mohit Bhagat</cp:lastModifiedBy>
  <cp:lastPrinted>2023-05-12T22:27:40Z</cp:lastPrinted>
  <dcterms:created xsi:type="dcterms:W3CDTF">2023-05-12T02:58:08Z</dcterms:created>
  <dcterms:modified xsi:type="dcterms:W3CDTF">2025-03-27T18:47:11Z</dcterms:modified>
  <cp:category/>
</cp:coreProperties>
</file>